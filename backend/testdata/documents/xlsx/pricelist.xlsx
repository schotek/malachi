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ík" sheetId="1" state="visible" r:id="rId3"/>
    <sheet name="Odečty" sheetId="2" state="visible" r:id="rId4"/>
    <sheet name="Poznámk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<sst xmlns="http://schemas.openxmlformats.org/spreadsheetml/2006/main" count="35" uniqueCount="28">
  <si>
    <t xml:space="preserve">Ceník elektřiny 2026 – Energie Pod Sněžkou, a.s.</t>
  </si>
  <si>
    <t xml:space="preserve">Položka</t>
  </si>
  <si>
    <t xml:space="preserve">Jednotka</t>
  </si>
  <si>
    <t xml:space="preserve">Cena bez DPH</t>
  </si>
  <si>
    <t xml:space="preserve">DPH 21 %</t>
  </si>
  <si>
    <t xml:space="preserve">Cena s DPH</t>
  </si>
  <si>
    <t xml:space="preserve">Roční množství</t>
  </si>
  <si>
    <t xml:space="preserve">Roční částka</t>
  </si>
  <si>
    <t xml:space="preserve">Cena silové elektřiny VT</t>
  </si>
  <si>
    <t xml:space="preserve">Kč/MWh</t>
  </si>
  <si>
    <t xml:space="preserve">Cena silové elektřiny NT</t>
  </si>
  <si>
    <t xml:space="preserve">Stálý měsíční plat</t>
  </si>
  <si>
    <t xml:space="preserve">Kč/měsíc</t>
  </si>
  <si>
    <t xml:space="preserve">Distribuční sazba D27d – VT</t>
  </si>
  <si>
    <t xml:space="preserve">Distribuční sazba D27d – NT</t>
  </si>
  <si>
    <t xml:space="preserve">Měsíční plat za jistič 3×25 A</t>
  </si>
  <si>
    <t xml:space="preserve">Cena za systémové služby</t>
  </si>
  <si>
    <t xml:space="preserve">Poplatek za činnost operátora trhu</t>
  </si>
  <si>
    <t xml:space="preserve">Daň z elektřiny</t>
  </si>
  <si>
    <t xml:space="preserve">Celkem za rok bez DPH</t>
  </si>
  <si>
    <t xml:space="preserve">Celkem za rok včetně DPH 21 %</t>
  </si>
  <si>
    <t xml:space="preserve">Datum odečtu</t>
  </si>
  <si>
    <t xml:space="preserve">VT [kWh]</t>
  </si>
  <si>
    <t xml:space="preserve">NT [kWh]</t>
  </si>
  <si>
    <t xml:space="preserve">Celkem [kWh]</t>
  </si>
  <si>
    <t xml:space="preserve">Poznámka</t>
  </si>
  <si>
    <t xml:space="preserve">Příliš žluťoučký kůň úpěl ďábelské ódy.</t>
  </si>
  <si>
    <t xml:space="preserve">Žádost o změnu jističe podána 3. 9. 2026, vyřizuje Ing. Zdeňka Řeháková.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</si>
</sst>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/\ m/\ 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4" fontId="4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y" xfId="20"/>
    <cellStyle name="Num" xfId="21"/>
    <cellStyle name="Date" xfId="22"/>
    <cellStyle name="Bold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n">
        <v>2890</v>
      </c>
      <c r="D3" s="2" t="n">
        <f aca="false">ROUND(C3*0.21,2)</f>
        <v>606.9</v>
      </c>
      <c r="E3" s="2" t="n">
        <f aca="false">C3+D3</f>
        <v>3496.9</v>
      </c>
      <c r="F3" s="0" t="n">
        <v>1.2</v>
      </c>
      <c r="G3" s="2" t="n">
        <f aca="false">ROUND(C3*F3,2)</f>
        <v>3468</v>
      </c>
    </row>
    <row r="4" customFormat="false" ht="12.8" hidden="false" customHeight="false" outlineLevel="0" collapsed="false">
      <c r="A4" s="0" t="s">
        <v>10</v>
      </c>
      <c r="B4" s="0" t="s">
        <v>9</v>
      </c>
      <c r="C4" s="0" t="n">
        <v>2450</v>
      </c>
      <c r="D4" s="2" t="n">
        <f aca="false">ROUND(C4*0.21,2)</f>
        <v>514.5</v>
      </c>
      <c r="E4" s="2" t="n">
        <f aca="false">C4+D4</f>
        <v>2964.5</v>
      </c>
      <c r="F4" s="0" t="n">
        <v>3</v>
      </c>
      <c r="G4" s="2" t="n">
        <f aca="false">ROUND(C4*F4,2)</f>
        <v>7350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n">
        <v>129</v>
      </c>
      <c r="D5" s="2" t="n">
        <f aca="false">ROUND(C5*0.21,2)</f>
        <v>27.09</v>
      </c>
      <c r="E5" s="2" t="n">
        <f aca="false">C5+D5</f>
        <v>156.09</v>
      </c>
      <c r="F5" s="0" t="n">
        <v>12</v>
      </c>
      <c r="G5" s="2" t="n">
        <f aca="false">ROUND(C5*F5,2)</f>
        <v>1548</v>
      </c>
    </row>
    <row r="6" customFormat="false" ht="12.8" hidden="false" customHeight="false" outlineLevel="0" collapsed="false">
      <c r="A6" s="0" t="s">
        <v>13</v>
      </c>
      <c r="B6" s="0" t="s">
        <v>9</v>
      </c>
      <c r="C6" s="0" t="n">
        <v>1832.15</v>
      </c>
      <c r="D6" s="2" t="n">
        <f aca="false">ROUND(C6*0.21,2)</f>
        <v>384.75</v>
      </c>
      <c r="E6" s="2" t="n">
        <f aca="false">C6+D6</f>
        <v>2216.9</v>
      </c>
      <c r="F6" s="0" t="n">
        <v>1.2</v>
      </c>
      <c r="G6" s="2" t="n">
        <f aca="false">ROUND(C6*F6,2)</f>
        <v>2198.58</v>
      </c>
    </row>
    <row r="7" customFormat="false" ht="12.8" hidden="false" customHeight="false" outlineLevel="0" collapsed="false">
      <c r="A7" s="0" t="s">
        <v>14</v>
      </c>
      <c r="B7" s="0" t="s">
        <v>9</v>
      </c>
      <c r="C7" s="0" t="n">
        <v>312.4</v>
      </c>
      <c r="D7" s="2" t="n">
        <f aca="false">ROUND(C7*0.21,2)</f>
        <v>65.6</v>
      </c>
      <c r="E7" s="2" t="n">
        <f aca="false">C7+D7</f>
        <v>378</v>
      </c>
      <c r="F7" s="0" t="n">
        <v>3</v>
      </c>
      <c r="G7" s="2" t="n">
        <f aca="false">ROUND(C7*F7,2)</f>
        <v>937.2</v>
      </c>
    </row>
    <row r="8" customFormat="false" ht="12.8" hidden="false" customHeight="false" outlineLevel="0" collapsed="false">
      <c r="A8" s="0" t="s">
        <v>15</v>
      </c>
      <c r="B8" s="0" t="s">
        <v>12</v>
      </c>
      <c r="C8" s="0" t="n">
        <v>412</v>
      </c>
      <c r="D8" s="2" t="n">
        <f aca="false">ROUND(C8*0.21,2)</f>
        <v>86.52</v>
      </c>
      <c r="E8" s="2" t="n">
        <f aca="false">C8+D8</f>
        <v>498.52</v>
      </c>
      <c r="F8" s="0" t="n">
        <v>12</v>
      </c>
      <c r="G8" s="2" t="n">
        <f aca="false">ROUND(C8*F8,2)</f>
        <v>4944</v>
      </c>
    </row>
    <row r="9" customFormat="false" ht="12.8" hidden="false" customHeight="false" outlineLevel="0" collapsed="false">
      <c r="A9" s="0" t="s">
        <v>16</v>
      </c>
      <c r="B9" s="0" t="s">
        <v>9</v>
      </c>
      <c r="C9" s="0" t="n">
        <v>162.5</v>
      </c>
      <c r="D9" s="2" t="n">
        <f aca="false">ROUND(C9*0.21,2)</f>
        <v>34.13</v>
      </c>
      <c r="E9" s="2" t="n">
        <f aca="false">C9+D9</f>
        <v>196.63</v>
      </c>
      <c r="F9" s="0" t="n">
        <v>4.2</v>
      </c>
      <c r="G9" s="2" t="n">
        <f aca="false">ROUND(C9*F9,2)</f>
        <v>682.5</v>
      </c>
    </row>
    <row r="10" customFormat="false" ht="12.8" hidden="false" customHeight="false" outlineLevel="0" collapsed="false">
      <c r="A10" s="0" t="s">
        <v>17</v>
      </c>
      <c r="B10" s="0" t="s">
        <v>12</v>
      </c>
      <c r="C10" s="0" t="n">
        <v>4.9</v>
      </c>
      <c r="D10" s="2" t="n">
        <f aca="false">ROUND(C10*0.21,2)</f>
        <v>1.03</v>
      </c>
      <c r="E10" s="2" t="n">
        <f aca="false">C10+D10</f>
        <v>5.93</v>
      </c>
      <c r="F10" s="0" t="n">
        <v>12</v>
      </c>
      <c r="G10" s="2" t="n">
        <f aca="false">ROUND(C10*F10,2)</f>
        <v>58.8</v>
      </c>
    </row>
    <row r="11" customFormat="false" ht="12.8" hidden="false" customHeight="false" outlineLevel="0" collapsed="false">
      <c r="A11" s="0" t="s">
        <v>18</v>
      </c>
      <c r="B11" s="0" t="s">
        <v>9</v>
      </c>
      <c r="C11" s="0" t="n">
        <v>28.3</v>
      </c>
      <c r="D11" s="2" t="n">
        <f aca="false">ROUND(C11*0.21,2)</f>
        <v>5.94</v>
      </c>
      <c r="E11" s="2" t="n">
        <f aca="false">C11+D11</f>
        <v>34.24</v>
      </c>
      <c r="F11" s="0" t="n">
        <v>4.2</v>
      </c>
      <c r="G11" s="2" t="n">
        <f aca="false">ROUND(C11*F11,2)</f>
        <v>118.86</v>
      </c>
    </row>
    <row r="12" customFormat="false" ht="12.8" hidden="false" customHeight="false" outlineLevel="0" collapsed="false">
      <c r="A12" s="1" t="s">
        <v>19</v>
      </c>
      <c r="B12" s="1"/>
      <c r="C12" s="1"/>
      <c r="D12" s="1"/>
      <c r="E12" s="1"/>
      <c r="F12" s="1"/>
      <c r="G12" s="2" t="n">
        <f aca="false">SUM(G3:G11)</f>
        <v>21305.94</v>
      </c>
    </row>
    <row r="13" customFormat="false" ht="12.8" hidden="false" customHeight="false" outlineLevel="0" collapsed="false">
      <c r="A13" s="1" t="s">
        <v>20</v>
      </c>
      <c r="B13" s="1"/>
      <c r="C13" s="1"/>
      <c r="D13" s="1"/>
      <c r="E13" s="1"/>
      <c r="F13" s="1"/>
      <c r="G13" s="2" t="n">
        <f aca="false">ROUND(G12*1.21,2)</f>
        <v>25780.19</v>
      </c>
    </row>
  </sheetData>
  <mergeCells count="3">
    <mergeCell ref="A1:G1"/>
    <mergeCell ref="A12:F12"/>
    <mergeCell ref="A13:F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</row>
    <row r="2" customFormat="false" ht="12.8" hidden="false" customHeight="false" outlineLevel="0" collapsed="false">
      <c r="A2" s="3" t="n">
        <v>46053</v>
      </c>
      <c r="B2" s="0" t="n">
        <v>101.4</v>
      </c>
      <c r="C2" s="0" t="n">
        <v>252.7</v>
      </c>
      <c r="D2" s="4" t="n">
        <f aca="false">B2+C2</f>
        <v>354.1</v>
      </c>
    </row>
    <row r="3" customFormat="false" ht="12.8" hidden="false" customHeight="false" outlineLevel="0" collapsed="false">
      <c r="A3" s="3" t="n">
        <v>46081</v>
      </c>
      <c r="B3" s="0" t="n">
        <v>95</v>
      </c>
      <c r="C3" s="0" t="n">
        <v>240.3</v>
      </c>
      <c r="D3" s="4" t="n">
        <f aca="false">B3+C3</f>
        <v>335.3</v>
      </c>
    </row>
    <row r="4" customFormat="false" ht="12.8" hidden="false" customHeight="false" outlineLevel="0" collapsed="false">
      <c r="A4" s="3" t="n">
        <v>46112</v>
      </c>
      <c r="B4" s="0" t="n">
        <v>88.2</v>
      </c>
      <c r="C4" s="0" t="n">
        <v>231.9</v>
      </c>
      <c r="D4" s="4" t="n">
        <f aca="false">B4+C4</f>
        <v>320.1</v>
      </c>
    </row>
    <row r="5" customFormat="false" ht="12.8" hidden="false" customHeight="false" outlineLevel="0" collapsed="false">
      <c r="A5" s="3" t="n">
        <v>46142</v>
      </c>
      <c r="B5" s="0" t="n">
        <v>70.6</v>
      </c>
      <c r="C5" s="0" t="n">
        <v>190.4</v>
      </c>
      <c r="D5" s="4" t="n">
        <f aca="false">B5+C5</f>
        <v>261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25</v>
      </c>
    </row>
    <row r="2" customFormat="false" ht="12.8" hidden="false" customHeight="false" outlineLevel="0" collapsed="false">
      <c r="A2" s="0" t="s">
        <v>26</v>
      </c>
    </row>
    <row r="3" customFormat="false" ht="12.8" hidden="false" customHeight="false" outlineLevel="0" collapsed="false">
      <c r="A3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cp:revision>0</cp:revision>
  <dc:subject/>
  <dc:title/>
</cp:coreProperties>
</file>